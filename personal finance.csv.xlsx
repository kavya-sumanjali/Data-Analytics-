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5200" windowHeight="11985" activeTab="2"/>
  </bookViews>
  <sheets>
    <sheet name="Sheet3" sheetId="3" r:id="rId1"/>
    <sheet name="Sheet1" sheetId="1" r:id="rId2"/>
    <sheet name="Sheet2" sheetId="2" r:id="rId3"/>
  </sheets>
  <calcPr calcId="152511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29" i="1" l="1"/>
  <c r="H23" i="1"/>
  <c r="H19" i="1"/>
  <c r="H11" i="1"/>
  <c r="H6" i="1"/>
</calcChain>
</file>

<file path=xl/sharedStrings.xml><?xml version="1.0" encoding="utf-8"?>
<sst xmlns="http://schemas.openxmlformats.org/spreadsheetml/2006/main" count="250" uniqueCount="50">
  <si>
    <t>Date</t>
  </si>
  <si>
    <t>Month</t>
  </si>
  <si>
    <t>Category</t>
  </si>
  <si>
    <t>Discription</t>
  </si>
  <si>
    <t>Actual amount</t>
  </si>
  <si>
    <t>Column1</t>
  </si>
  <si>
    <t>Column2</t>
  </si>
  <si>
    <t>Column3</t>
  </si>
  <si>
    <t>Column4</t>
  </si>
  <si>
    <t>Column5</t>
  </si>
  <si>
    <t>January</t>
  </si>
  <si>
    <t>Rent</t>
  </si>
  <si>
    <t>House Rent</t>
  </si>
  <si>
    <t>Food</t>
  </si>
  <si>
    <t>Groceries</t>
  </si>
  <si>
    <t>Transport</t>
  </si>
  <si>
    <t>Bus&amp;Fuel</t>
  </si>
  <si>
    <t>Total Expences</t>
  </si>
  <si>
    <t>Entertainment</t>
  </si>
  <si>
    <t>Movies</t>
  </si>
  <si>
    <t>Utilities</t>
  </si>
  <si>
    <t>Electricity bill</t>
  </si>
  <si>
    <t>February</t>
  </si>
  <si>
    <t>Total Expences by Category(Food)</t>
  </si>
  <si>
    <t>Water&amp;Power</t>
  </si>
  <si>
    <t>March</t>
  </si>
  <si>
    <t>Average</t>
  </si>
  <si>
    <t>Bus pass</t>
  </si>
  <si>
    <t>Outgoing</t>
  </si>
  <si>
    <t>April</t>
  </si>
  <si>
    <t>Total expences by month</t>
  </si>
  <si>
    <t>Fuel</t>
  </si>
  <si>
    <t>Total expenses by month and category</t>
  </si>
  <si>
    <t>May</t>
  </si>
  <si>
    <t>Shopping</t>
  </si>
  <si>
    <t>June</t>
  </si>
  <si>
    <t>avg expanses by month</t>
  </si>
  <si>
    <t>Trip</t>
  </si>
  <si>
    <t>July</t>
  </si>
  <si>
    <t>August</t>
  </si>
  <si>
    <t>September</t>
  </si>
  <si>
    <t>October</t>
  </si>
  <si>
    <t>Festival Shopping</t>
  </si>
  <si>
    <t>November</t>
  </si>
  <si>
    <t>December</t>
  </si>
  <si>
    <t>Travel</t>
  </si>
  <si>
    <t>Year-End Party</t>
  </si>
  <si>
    <t>Row Labels</t>
  </si>
  <si>
    <t>Grand Total</t>
  </si>
  <si>
    <t>Count of Discription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</si>
</sst>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vertical="center"/>
    </xf>
    <xf numFmtId="0" fontId="0" fillId="3" borderId="0" xfId="0" applyFill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finance.csv.xlsx]Sheet3!PivotTable1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Sheet3!$A$4:$A$10</c:f>
              <c:strCache>
                <c:ptCount val="6"/>
                <c:pt idx="0">
                  <c:v>Column3</c:v>
                </c:pt>
                <c:pt idx="1">
                  <c:v>Entertainment</c:v>
                </c:pt>
                <c:pt idx="2">
                  <c:v>Food</c:v>
                </c:pt>
                <c:pt idx="3">
                  <c:v>Rent</c:v>
                </c:pt>
                <c:pt idx="4">
                  <c:v>Transport</c:v>
                </c:pt>
                <c:pt idx="5">
                  <c:v>Utilities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finance.csv.xlsx]Sheet3!PivotTable2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Sheet3!$D$4:$D$10</c:f>
              <c:strCache>
                <c:ptCount val="6"/>
                <c:pt idx="0">
                  <c:v>Column3</c:v>
                </c:pt>
                <c:pt idx="1">
                  <c:v>Entertainment</c:v>
                </c:pt>
                <c:pt idx="2">
                  <c:v>Food</c:v>
                </c:pt>
                <c:pt idx="3">
                  <c:v>Rent</c:v>
                </c:pt>
                <c:pt idx="4">
                  <c:v>Transport</c:v>
                </c:pt>
                <c:pt idx="5">
                  <c:v>Utilities</c:v>
                </c:pt>
              </c:strCache>
            </c:strRef>
          </c:cat>
          <c:val>
            <c:numRef>
              <c:f>Sheet3!$E$4:$E$10</c:f>
              <c:numCache>
                <c:formatCode>General</c:formatCode>
                <c:ptCount val="6"/>
                <c:pt idx="0">
                  <c:v>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finance.csv.xlsx]Sheet3!PivotTable3</c:name>
    <c:fmtId val="2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0822363420788612E-2"/>
          <c:y val="0.31367966717972312"/>
          <c:w val="0.50442991923306879"/>
          <c:h val="0.595204181489981"/>
        </c:manualLayout>
      </c:layout>
      <c:pieChart>
        <c:varyColors val="1"/>
        <c:ser>
          <c:idx val="0"/>
          <c:order val="0"/>
          <c:tx>
            <c:strRef>
              <c:f>Sheet3!$I$3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Sheet3!$H$4:$H$10</c:f>
              <c:strCache>
                <c:ptCount val="6"/>
                <c:pt idx="0">
                  <c:v>Column3</c:v>
                </c:pt>
                <c:pt idx="1">
                  <c:v>Entertainment</c:v>
                </c:pt>
                <c:pt idx="2">
                  <c:v>Food</c:v>
                </c:pt>
                <c:pt idx="3">
                  <c:v>Rent</c:v>
                </c:pt>
                <c:pt idx="4">
                  <c:v>Transport</c:v>
                </c:pt>
                <c:pt idx="5">
                  <c:v>Utilities</c:v>
                </c:pt>
              </c:strCache>
            </c:strRef>
          </c:cat>
          <c:val>
            <c:numRef>
              <c:f>Sheet3!$I$4:$I$10</c:f>
              <c:numCache>
                <c:formatCode>General</c:formatCode>
                <c:ptCount val="6"/>
                <c:pt idx="0">
                  <c:v>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finance.csv.xlsx]Sheet3!PivotTable1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Sheet3!$A$4:$A$10</c:f>
              <c:strCache>
                <c:ptCount val="6"/>
                <c:pt idx="0">
                  <c:v>Column3</c:v>
                </c:pt>
                <c:pt idx="1">
                  <c:v>Entertainment</c:v>
                </c:pt>
                <c:pt idx="2">
                  <c:v>Food</c:v>
                </c:pt>
                <c:pt idx="3">
                  <c:v>Rent</c:v>
                </c:pt>
                <c:pt idx="4">
                  <c:v>Transport</c:v>
                </c:pt>
                <c:pt idx="5">
                  <c:v>Utilities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finance.csv.xlsx]Sheet3!PivotTable2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0574694334439556E-2"/>
          <c:y val="0.33662359268526149"/>
          <c:w val="0.53793120176262044"/>
          <c:h val="0.57384805255687044"/>
        </c:manualLayout>
      </c:layout>
      <c:pie3DChart>
        <c:varyColors val="1"/>
        <c:ser>
          <c:idx val="0"/>
          <c:order val="0"/>
          <c:tx>
            <c:strRef>
              <c:f>Sheet3!$E$3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Sheet3!$D$4:$D$10</c:f>
              <c:strCache>
                <c:ptCount val="6"/>
                <c:pt idx="0">
                  <c:v>Column3</c:v>
                </c:pt>
                <c:pt idx="1">
                  <c:v>Entertainment</c:v>
                </c:pt>
                <c:pt idx="2">
                  <c:v>Food</c:v>
                </c:pt>
                <c:pt idx="3">
                  <c:v>Rent</c:v>
                </c:pt>
                <c:pt idx="4">
                  <c:v>Transport</c:v>
                </c:pt>
                <c:pt idx="5">
                  <c:v>Utilities</c:v>
                </c:pt>
              </c:strCache>
            </c:strRef>
          </c:cat>
          <c:val>
            <c:numRef>
              <c:f>Sheet3!$E$4:$E$10</c:f>
              <c:numCache>
                <c:formatCode>General</c:formatCode>
                <c:ptCount val="6"/>
                <c:pt idx="0">
                  <c:v>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finance.csv.xlsx]Sheet3!PivotTable3</c:name>
    <c:fmtId val="2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0822363420788612E-2"/>
          <c:y val="0.31367966717972312"/>
          <c:w val="0.50442991923306879"/>
          <c:h val="0.595204181489981"/>
        </c:manualLayout>
      </c:layout>
      <c:pieChart>
        <c:varyColors val="1"/>
        <c:ser>
          <c:idx val="0"/>
          <c:order val="0"/>
          <c:tx>
            <c:strRef>
              <c:f>Sheet3!$I$3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Sheet3!$H$4:$H$10</c:f>
              <c:strCache>
                <c:ptCount val="6"/>
                <c:pt idx="0">
                  <c:v>Column3</c:v>
                </c:pt>
                <c:pt idx="1">
                  <c:v>Entertainment</c:v>
                </c:pt>
                <c:pt idx="2">
                  <c:v>Food</c:v>
                </c:pt>
                <c:pt idx="3">
                  <c:v>Rent</c:v>
                </c:pt>
                <c:pt idx="4">
                  <c:v>Transport</c:v>
                </c:pt>
                <c:pt idx="5">
                  <c:v>Utilities</c:v>
                </c:pt>
              </c:strCache>
            </c:strRef>
          </c:cat>
          <c:val>
            <c:numRef>
              <c:f>Sheet3!$I$4:$I$10</c:f>
              <c:numCache>
                <c:formatCode>General</c:formatCode>
                <c:ptCount val="6"/>
                <c:pt idx="0">
                  <c:v>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10</xdr:row>
      <xdr:rowOff>128587</xdr:rowOff>
    </xdr:from>
    <xdr:to>
      <xdr:col>2</xdr:col>
      <xdr:colOff>104775</xdr:colOff>
      <xdr:row>21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38099</xdr:colOff>
      <xdr:row>11</xdr:row>
      <xdr:rowOff>4762</xdr:rowOff>
    </xdr:from>
    <xdr:to>
      <xdr:col>4</xdr:col>
      <xdr:colOff>1428749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</xdr:colOff>
      <xdr:row>10</xdr:row>
      <xdr:rowOff>157162</xdr:rowOff>
    </xdr:from>
    <xdr:to>
      <xdr:col>9</xdr:col>
      <xdr:colOff>47625</xdr:colOff>
      <xdr:row>22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9525</xdr:rowOff>
    </xdr:from>
    <xdr:to>
      <xdr:col>18</xdr:col>
      <xdr:colOff>495300</xdr:colOff>
      <xdr:row>11</xdr:row>
      <xdr:rowOff>9525</xdr:rowOff>
    </xdr:to>
    <xdr:sp macro="" textlink="">
      <xdr:nvSpPr>
        <xdr:cNvPr id="6" name="Rounded Rectangle 5"/>
        <xdr:cNvSpPr/>
      </xdr:nvSpPr>
      <xdr:spPr>
        <a:xfrm>
          <a:off x="95250" y="9525"/>
          <a:ext cx="12744450" cy="19907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>
              <a:solidFill>
                <a:schemeClr val="accent5">
                  <a:lumMod val="50000"/>
                </a:schemeClr>
              </a:solidFill>
            </a:rPr>
            <a:t>PERSONAL</a:t>
          </a:r>
          <a:r>
            <a:rPr lang="en-IN" sz="2000" baseline="0">
              <a:solidFill>
                <a:schemeClr val="accent5">
                  <a:lumMod val="50000"/>
                </a:schemeClr>
              </a:solidFill>
            </a:rPr>
            <a:t> FINANCE BUDGET DASHBOARD</a:t>
          </a:r>
          <a:endParaRPr lang="en-IN" sz="2000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oneCellAnchor>
    <xdr:from>
      <xdr:col>7</xdr:col>
      <xdr:colOff>266700</xdr:colOff>
      <xdr:row>4</xdr:row>
      <xdr:rowOff>47625</xdr:rowOff>
    </xdr:from>
    <xdr:ext cx="2977738" cy="252185"/>
    <xdr:sp macro="" textlink="">
      <xdr:nvSpPr>
        <xdr:cNvPr id="7" name="TextBox 6"/>
        <xdr:cNvSpPr txBox="1"/>
      </xdr:nvSpPr>
      <xdr:spPr>
        <a:xfrm>
          <a:off x="5067300" y="771525"/>
          <a:ext cx="2977738" cy="252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>
              <a:solidFill>
                <a:srgbClr val="C00000"/>
              </a:solidFill>
            </a:rPr>
            <a:t>Personal Budget</a:t>
          </a:r>
          <a:r>
            <a:rPr lang="en-IN" sz="1100" baseline="0">
              <a:solidFill>
                <a:srgbClr val="C00000"/>
              </a:solidFill>
            </a:rPr>
            <a:t> </a:t>
          </a:r>
          <a:r>
            <a:rPr lang="en-IN" sz="1100">
              <a:solidFill>
                <a:srgbClr val="C00000"/>
              </a:solidFill>
            </a:rPr>
            <a:t>Monthly Dashboard</a:t>
          </a:r>
        </a:p>
      </xdr:txBody>
    </xdr:sp>
    <xdr:clientData/>
  </xdr:oneCellAnchor>
  <xdr:twoCellAnchor>
    <xdr:from>
      <xdr:col>0</xdr:col>
      <xdr:colOff>76200</xdr:colOff>
      <xdr:row>11</xdr:row>
      <xdr:rowOff>161925</xdr:rowOff>
    </xdr:from>
    <xdr:to>
      <xdr:col>4</xdr:col>
      <xdr:colOff>19050</xdr:colOff>
      <xdr:row>20</xdr:row>
      <xdr:rowOff>38100</xdr:rowOff>
    </xdr:to>
    <xdr:sp macro="" textlink="">
      <xdr:nvSpPr>
        <xdr:cNvPr id="8" name="Rounded Rectangle 7"/>
        <xdr:cNvSpPr/>
      </xdr:nvSpPr>
      <xdr:spPr>
        <a:xfrm>
          <a:off x="76200" y="2152650"/>
          <a:ext cx="2686050" cy="15049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MMMMMMMMMMMMMM9U89HIJIYG</a:t>
          </a:r>
        </a:p>
      </xdr:txBody>
    </xdr:sp>
    <xdr:clientData/>
  </xdr:twoCellAnchor>
  <xdr:twoCellAnchor>
    <xdr:from>
      <xdr:col>0</xdr:col>
      <xdr:colOff>95250</xdr:colOff>
      <xdr:row>12</xdr:row>
      <xdr:rowOff>0</xdr:rowOff>
    </xdr:from>
    <xdr:to>
      <xdr:col>1</xdr:col>
      <xdr:colOff>638175</xdr:colOff>
      <xdr:row>20</xdr:row>
      <xdr:rowOff>38100</xdr:rowOff>
    </xdr:to>
    <xdr:sp macro="" textlink="">
      <xdr:nvSpPr>
        <xdr:cNvPr id="9" name="Rounded Rectangle 8"/>
        <xdr:cNvSpPr/>
      </xdr:nvSpPr>
      <xdr:spPr>
        <a:xfrm>
          <a:off x="95250" y="2171700"/>
          <a:ext cx="1228725" cy="1485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447675</xdr:colOff>
      <xdr:row>12</xdr:row>
      <xdr:rowOff>19050</xdr:rowOff>
    </xdr:from>
    <xdr:to>
      <xdr:col>8</xdr:col>
      <xdr:colOff>495300</xdr:colOff>
      <xdr:row>20</xdr:row>
      <xdr:rowOff>76200</xdr:rowOff>
    </xdr:to>
    <xdr:sp macro="" textlink="">
      <xdr:nvSpPr>
        <xdr:cNvPr id="10" name="Rounded Rectangle 9"/>
        <xdr:cNvSpPr/>
      </xdr:nvSpPr>
      <xdr:spPr>
        <a:xfrm>
          <a:off x="3190875" y="2190750"/>
          <a:ext cx="2790825" cy="15049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</a:t>
          </a:r>
        </a:p>
      </xdr:txBody>
    </xdr:sp>
    <xdr:clientData/>
  </xdr:twoCellAnchor>
  <xdr:twoCellAnchor>
    <xdr:from>
      <xdr:col>9</xdr:col>
      <xdr:colOff>219075</xdr:colOff>
      <xdr:row>12</xdr:row>
      <xdr:rowOff>38100</xdr:rowOff>
    </xdr:from>
    <xdr:to>
      <xdr:col>13</xdr:col>
      <xdr:colOff>266700</xdr:colOff>
      <xdr:row>20</xdr:row>
      <xdr:rowOff>95250</xdr:rowOff>
    </xdr:to>
    <xdr:sp macro="" textlink="">
      <xdr:nvSpPr>
        <xdr:cNvPr id="11" name="Rounded Rectangle 10"/>
        <xdr:cNvSpPr/>
      </xdr:nvSpPr>
      <xdr:spPr>
        <a:xfrm>
          <a:off x="6391275" y="2209800"/>
          <a:ext cx="2790825" cy="15049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</a:t>
          </a:r>
        </a:p>
      </xdr:txBody>
    </xdr:sp>
    <xdr:clientData/>
  </xdr:twoCellAnchor>
  <xdr:twoCellAnchor>
    <xdr:from>
      <xdr:col>14</xdr:col>
      <xdr:colOff>209550</xdr:colOff>
      <xdr:row>12</xdr:row>
      <xdr:rowOff>9525</xdr:rowOff>
    </xdr:from>
    <xdr:to>
      <xdr:col>18</xdr:col>
      <xdr:colOff>257175</xdr:colOff>
      <xdr:row>20</xdr:row>
      <xdr:rowOff>66675</xdr:rowOff>
    </xdr:to>
    <xdr:sp macro="" textlink="">
      <xdr:nvSpPr>
        <xdr:cNvPr id="12" name="Rounded Rectangle 11"/>
        <xdr:cNvSpPr/>
      </xdr:nvSpPr>
      <xdr:spPr>
        <a:xfrm>
          <a:off x="9810750" y="2181225"/>
          <a:ext cx="2790825" cy="15049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</a:t>
          </a:r>
        </a:p>
      </xdr:txBody>
    </xdr:sp>
    <xdr:clientData/>
  </xdr:twoCellAnchor>
  <xdr:twoCellAnchor>
    <xdr:from>
      <xdr:col>4</xdr:col>
      <xdr:colOff>447675</xdr:colOff>
      <xdr:row>12</xdr:row>
      <xdr:rowOff>19050</xdr:rowOff>
    </xdr:from>
    <xdr:to>
      <xdr:col>6</xdr:col>
      <xdr:colOff>304800</xdr:colOff>
      <xdr:row>20</xdr:row>
      <xdr:rowOff>57150</xdr:rowOff>
    </xdr:to>
    <xdr:sp macro="" textlink="">
      <xdr:nvSpPr>
        <xdr:cNvPr id="13" name="Rounded Rectangle 12"/>
        <xdr:cNvSpPr/>
      </xdr:nvSpPr>
      <xdr:spPr>
        <a:xfrm>
          <a:off x="3190875" y="2190750"/>
          <a:ext cx="1228725" cy="1485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219075</xdr:colOff>
      <xdr:row>12</xdr:row>
      <xdr:rowOff>38100</xdr:rowOff>
    </xdr:from>
    <xdr:to>
      <xdr:col>11</xdr:col>
      <xdr:colOff>76200</xdr:colOff>
      <xdr:row>20</xdr:row>
      <xdr:rowOff>76200</xdr:rowOff>
    </xdr:to>
    <xdr:sp macro="" textlink="">
      <xdr:nvSpPr>
        <xdr:cNvPr id="14" name="Rounded Rectangle 13"/>
        <xdr:cNvSpPr/>
      </xdr:nvSpPr>
      <xdr:spPr>
        <a:xfrm>
          <a:off x="6391275" y="2209800"/>
          <a:ext cx="1228725" cy="1485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12</xdr:row>
      <xdr:rowOff>9525</xdr:rowOff>
    </xdr:from>
    <xdr:to>
      <xdr:col>16</xdr:col>
      <xdr:colOff>66675</xdr:colOff>
      <xdr:row>20</xdr:row>
      <xdr:rowOff>47625</xdr:rowOff>
    </xdr:to>
    <xdr:sp macro="" textlink="">
      <xdr:nvSpPr>
        <xdr:cNvPr id="15" name="Rounded Rectangle 14"/>
        <xdr:cNvSpPr/>
      </xdr:nvSpPr>
      <xdr:spPr>
        <a:xfrm>
          <a:off x="9810750" y="2181225"/>
          <a:ext cx="1228725" cy="1485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</xdr:col>
      <xdr:colOff>638175</xdr:colOff>
      <xdr:row>14</xdr:row>
      <xdr:rowOff>171450</xdr:rowOff>
    </xdr:from>
    <xdr:ext cx="1369606" cy="252185"/>
    <xdr:sp macro="" textlink="">
      <xdr:nvSpPr>
        <xdr:cNvPr id="17" name="TextBox 16"/>
        <xdr:cNvSpPr txBox="1"/>
      </xdr:nvSpPr>
      <xdr:spPr>
        <a:xfrm>
          <a:off x="1323975" y="2705100"/>
          <a:ext cx="1369606" cy="252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Total</a:t>
          </a:r>
          <a:r>
            <a:rPr lang="en-IN" sz="1100" baseline="0"/>
            <a:t> Expenses</a:t>
          </a:r>
          <a:endParaRPr lang="en-IN" sz="1100"/>
        </a:p>
      </xdr:txBody>
    </xdr:sp>
    <xdr:clientData/>
  </xdr:oneCellAnchor>
  <xdr:oneCellAnchor>
    <xdr:from>
      <xdr:col>2</xdr:col>
      <xdr:colOff>266700</xdr:colOff>
      <xdr:row>16</xdr:row>
      <xdr:rowOff>57150</xdr:rowOff>
    </xdr:from>
    <xdr:ext cx="692497" cy="252185"/>
    <xdr:sp macro="" textlink="Sheet1!H6">
      <xdr:nvSpPr>
        <xdr:cNvPr id="19" name="TextBox 18"/>
        <xdr:cNvSpPr txBox="1"/>
      </xdr:nvSpPr>
      <xdr:spPr>
        <a:xfrm>
          <a:off x="1638300" y="2952750"/>
          <a:ext cx="692497" cy="252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B1ABCDF9-3AEC-4342-A9B5-2E61A7BD1F16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295000</a:t>
          </a:fld>
          <a:endParaRPr lang="en-IN" sz="1100"/>
        </a:p>
      </xdr:txBody>
    </xdr:sp>
    <xdr:clientData/>
  </xdr:oneCellAnchor>
  <xdr:oneCellAnchor>
    <xdr:from>
      <xdr:col>6</xdr:col>
      <xdr:colOff>323851</xdr:colOff>
      <xdr:row>13</xdr:row>
      <xdr:rowOff>19050</xdr:rowOff>
    </xdr:from>
    <xdr:ext cx="1504950" cy="571888"/>
    <xdr:sp macro="" textlink="">
      <xdr:nvSpPr>
        <xdr:cNvPr id="20" name="TextBox 19"/>
        <xdr:cNvSpPr txBox="1"/>
      </xdr:nvSpPr>
      <xdr:spPr>
        <a:xfrm>
          <a:off x="4438651" y="2371725"/>
          <a:ext cx="1504950" cy="5718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Total Expences by Category(Food)</a:t>
          </a:r>
        </a:p>
      </xdr:txBody>
    </xdr:sp>
    <xdr:clientData/>
  </xdr:oneCellAnchor>
  <xdr:oneCellAnchor>
    <xdr:from>
      <xdr:col>6</xdr:col>
      <xdr:colOff>609600</xdr:colOff>
      <xdr:row>16</xdr:row>
      <xdr:rowOff>76200</xdr:rowOff>
    </xdr:from>
    <xdr:ext cx="607859" cy="252185"/>
    <xdr:sp macro="" textlink="Sheet1!H11">
      <xdr:nvSpPr>
        <xdr:cNvPr id="21" name="TextBox 20"/>
        <xdr:cNvSpPr txBox="1"/>
      </xdr:nvSpPr>
      <xdr:spPr>
        <a:xfrm>
          <a:off x="4724400" y="2971800"/>
          <a:ext cx="607859" cy="252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22A13E5-15A5-44FF-A642-97E79250F101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55800</a:t>
          </a:fld>
          <a:endParaRPr lang="en-IN" sz="1100"/>
        </a:p>
      </xdr:txBody>
    </xdr:sp>
    <xdr:clientData/>
  </xdr:oneCellAnchor>
  <xdr:oneCellAnchor>
    <xdr:from>
      <xdr:col>11</xdr:col>
      <xdr:colOff>447675</xdr:colOff>
      <xdr:row>14</xdr:row>
      <xdr:rowOff>9525</xdr:rowOff>
    </xdr:from>
    <xdr:ext cx="857250" cy="252185"/>
    <xdr:sp macro="" textlink="">
      <xdr:nvSpPr>
        <xdr:cNvPr id="22" name="TextBox 21"/>
        <xdr:cNvSpPr txBox="1"/>
      </xdr:nvSpPr>
      <xdr:spPr>
        <a:xfrm>
          <a:off x="7991475" y="2543175"/>
          <a:ext cx="857250" cy="252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Average</a:t>
          </a:r>
        </a:p>
      </xdr:txBody>
    </xdr:sp>
    <xdr:clientData/>
  </xdr:oneCellAnchor>
  <xdr:oneCellAnchor>
    <xdr:from>
      <xdr:col>12</xdr:col>
      <xdr:colOff>342900</xdr:colOff>
      <xdr:row>17</xdr:row>
      <xdr:rowOff>0</xdr:rowOff>
    </xdr:from>
    <xdr:ext cx="184731" cy="252185"/>
    <xdr:sp macro="" textlink="">
      <xdr:nvSpPr>
        <xdr:cNvPr id="23" name="TextBox 22"/>
        <xdr:cNvSpPr txBox="1"/>
      </xdr:nvSpPr>
      <xdr:spPr>
        <a:xfrm>
          <a:off x="8572500" y="3076575"/>
          <a:ext cx="184731" cy="252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11</xdr:col>
      <xdr:colOff>295275</xdr:colOff>
      <xdr:row>16</xdr:row>
      <xdr:rowOff>0</xdr:rowOff>
    </xdr:from>
    <xdr:ext cx="1115690" cy="252185"/>
    <xdr:sp macro="" textlink="Sheet1!H15">
      <xdr:nvSpPr>
        <xdr:cNvPr id="24" name="TextBox 23"/>
        <xdr:cNvSpPr txBox="1"/>
      </xdr:nvSpPr>
      <xdr:spPr>
        <a:xfrm>
          <a:off x="7839075" y="2895600"/>
          <a:ext cx="1115690" cy="252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E8292E8-AF5F-44D8-B1A3-23E500C456DD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4916.666667</a:t>
          </a:fld>
          <a:endParaRPr lang="en-IN" sz="1100"/>
        </a:p>
      </xdr:txBody>
    </xdr:sp>
    <xdr:clientData/>
  </xdr:oneCellAnchor>
  <xdr:oneCellAnchor>
    <xdr:from>
      <xdr:col>16</xdr:col>
      <xdr:colOff>285751</xdr:colOff>
      <xdr:row>13</xdr:row>
      <xdr:rowOff>47625</xdr:rowOff>
    </xdr:from>
    <xdr:ext cx="1352549" cy="571888"/>
    <xdr:sp macro="" textlink="">
      <xdr:nvSpPr>
        <xdr:cNvPr id="26" name="TextBox 25"/>
        <xdr:cNvSpPr txBox="1"/>
      </xdr:nvSpPr>
      <xdr:spPr>
        <a:xfrm>
          <a:off x="11258551" y="2400300"/>
          <a:ext cx="1352549" cy="5718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Total Expences</a:t>
          </a:r>
          <a:r>
            <a:rPr lang="en-IN" sz="1100" baseline="0"/>
            <a:t> by Month</a:t>
          </a:r>
          <a:endParaRPr lang="en-IN" sz="1100"/>
        </a:p>
      </xdr:txBody>
    </xdr:sp>
    <xdr:clientData/>
  </xdr:oneCellAnchor>
  <xdr:oneCellAnchor>
    <xdr:from>
      <xdr:col>16</xdr:col>
      <xdr:colOff>333375</xdr:colOff>
      <xdr:row>16</xdr:row>
      <xdr:rowOff>123825</xdr:rowOff>
    </xdr:from>
    <xdr:ext cx="607859" cy="252185"/>
    <xdr:sp macro="" textlink="Sheet1!H19">
      <xdr:nvSpPr>
        <xdr:cNvPr id="27" name="TextBox 26"/>
        <xdr:cNvSpPr txBox="1"/>
      </xdr:nvSpPr>
      <xdr:spPr>
        <a:xfrm>
          <a:off x="11306175" y="3019425"/>
          <a:ext cx="607859" cy="252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B588B14B-070C-46F8-B826-94F2C7B0A03E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23900</a:t>
          </a:fld>
          <a:endParaRPr lang="en-IN" sz="1100"/>
        </a:p>
      </xdr:txBody>
    </xdr:sp>
    <xdr:clientData/>
  </xdr:oneCellAnchor>
  <xdr:twoCellAnchor>
    <xdr:from>
      <xdr:col>0</xdr:col>
      <xdr:colOff>676275</xdr:colOff>
      <xdr:row>33</xdr:row>
      <xdr:rowOff>14287</xdr:rowOff>
    </xdr:from>
    <xdr:to>
      <xdr:col>3</xdr:col>
      <xdr:colOff>28575</xdr:colOff>
      <xdr:row>44</xdr:row>
      <xdr:rowOff>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34</xdr:row>
      <xdr:rowOff>0</xdr:rowOff>
    </xdr:from>
    <xdr:to>
      <xdr:col>7</xdr:col>
      <xdr:colOff>1419224</xdr:colOff>
      <xdr:row>45</xdr:row>
      <xdr:rowOff>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9525</xdr:colOff>
      <xdr:row>32</xdr:row>
      <xdr:rowOff>176212</xdr:rowOff>
    </xdr:from>
    <xdr:to>
      <xdr:col>10</xdr:col>
      <xdr:colOff>1419225</xdr:colOff>
      <xdr:row>44</xdr:row>
      <xdr:rowOff>152400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43.612568518518" createdVersion="5" refreshedVersion="5" minRefreshableVersion="3" recordCount="61">
  <cacheSource type="worksheet">
    <worksheetSource ref="A1:E62" sheet="Sheet1"/>
  </cacheSource>
  <cacheFields count="5">
    <cacheField name="Date" numFmtId="14">
      <sharedItems containsDate="1" containsMixedTypes="1" minDate="2025-01-05T00:00:00" maxDate="2025-12-27T00:00:00"/>
    </cacheField>
    <cacheField name="Month" numFmtId="0">
      <sharedItems/>
    </cacheField>
    <cacheField name="Category" numFmtId="0">
      <sharedItems count="6">
        <s v="Column3"/>
        <s v="Rent"/>
        <s v="Food"/>
        <s v="Transport"/>
        <s v="Entertainment"/>
        <s v="Utilities"/>
      </sharedItems>
    </cacheField>
    <cacheField name="Discription" numFmtId="0">
      <sharedItems count="15">
        <s v="Column4"/>
        <s v="House Rent"/>
        <s v="Groceries"/>
        <s v="Bus&amp;Fuel"/>
        <s v="Movies"/>
        <s v="Electricity bill"/>
        <s v="Water&amp;Power"/>
        <s v="Bus pass"/>
        <s v="Outgoing"/>
        <s v="Fuel"/>
        <s v="Shopping"/>
        <s v="Trip"/>
        <s v="Festival Shopping"/>
        <s v="Travel"/>
        <s v="Year-End Party"/>
      </sharedItems>
    </cacheField>
    <cacheField name="Actual amount" numFmtId="0">
      <sharedItems containsMixedTypes="1" containsNumber="1" containsInteger="1" minValue="1500" maxValue="1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">
  <r>
    <s v="Column1"/>
    <s v="Column2"/>
    <x v="0"/>
    <x v="0"/>
    <s v="Column5"/>
  </r>
  <r>
    <d v="2025-01-05T00:00:00"/>
    <s v="January"/>
    <x v="1"/>
    <x v="1"/>
    <n v="12000"/>
  </r>
  <r>
    <d v="2025-01-08T00:00:00"/>
    <s v="January"/>
    <x v="2"/>
    <x v="2"/>
    <n v="4200"/>
  </r>
  <r>
    <d v="2025-01-12T00:00:00"/>
    <s v="January"/>
    <x v="3"/>
    <x v="3"/>
    <n v="2800"/>
  </r>
  <r>
    <d v="2025-01-18T00:00:00"/>
    <s v="January"/>
    <x v="4"/>
    <x v="4"/>
    <n v="2300"/>
  </r>
  <r>
    <d v="2025-01-25T00:00:00"/>
    <s v="January"/>
    <x v="5"/>
    <x v="5"/>
    <n v="2600"/>
  </r>
  <r>
    <d v="2025-02-05T00:00:00"/>
    <s v="February"/>
    <x v="1"/>
    <x v="1"/>
    <n v="12000"/>
  </r>
  <r>
    <d v="2025-02-09T00:00:00"/>
    <s v="February"/>
    <x v="2"/>
    <x v="2"/>
    <n v="5100"/>
  </r>
  <r>
    <d v="2025-02-12T00:00:00"/>
    <s v="February"/>
    <x v="3"/>
    <x v="3"/>
    <n v="3200"/>
  </r>
  <r>
    <d v="2025-02-18T00:00:00"/>
    <s v="February"/>
    <x v="4"/>
    <x v="4"/>
    <n v="1900"/>
  </r>
  <r>
    <d v="2025-02-24T00:00:00"/>
    <s v="February"/>
    <x v="5"/>
    <x v="6"/>
    <n v="2400"/>
  </r>
  <r>
    <d v="2025-03-05T00:00:00"/>
    <s v="March"/>
    <x v="1"/>
    <x v="1"/>
    <n v="12000"/>
  </r>
  <r>
    <d v="2025-03-08T00:00:00"/>
    <s v="March"/>
    <x v="2"/>
    <x v="2"/>
    <n v="3900"/>
  </r>
  <r>
    <d v="2025-03-14T00:00:00"/>
    <s v="March"/>
    <x v="3"/>
    <x v="7"/>
    <n v="2600"/>
  </r>
  <r>
    <d v="2025-03-20T00:00:00"/>
    <s v="March"/>
    <x v="4"/>
    <x v="8"/>
    <n v="1500"/>
  </r>
  <r>
    <d v="2025-03-26T00:00:00"/>
    <s v="March"/>
    <x v="5"/>
    <x v="5"/>
    <n v="2300"/>
  </r>
  <r>
    <d v="2025-04-05T00:00:00"/>
    <s v="April"/>
    <x v="1"/>
    <x v="1"/>
    <n v="12000"/>
  </r>
  <r>
    <d v="2025-04-09T00:00:00"/>
    <s v="April"/>
    <x v="2"/>
    <x v="2"/>
    <n v="4500"/>
  </r>
  <r>
    <d v="2025-04-13T00:00:00"/>
    <s v="April"/>
    <x v="3"/>
    <x v="9"/>
    <n v="3000"/>
  </r>
  <r>
    <d v="2025-04-19T00:00:00"/>
    <s v="April"/>
    <x v="4"/>
    <x v="4"/>
    <n v="2200"/>
  </r>
  <r>
    <d v="2025-04-25T00:00:00"/>
    <s v="April"/>
    <x v="5"/>
    <x v="5"/>
    <n v="2500"/>
  </r>
  <r>
    <d v="2025-05-05T00:00:00"/>
    <s v="May"/>
    <x v="1"/>
    <x v="1"/>
    <n v="12000"/>
  </r>
  <r>
    <d v="2025-05-08T00:00:00"/>
    <s v="May"/>
    <x v="2"/>
    <x v="2"/>
    <n v="4800"/>
  </r>
  <r>
    <d v="2025-05-14T00:00:00"/>
    <s v="May"/>
    <x v="3"/>
    <x v="9"/>
    <n v="2900"/>
  </r>
  <r>
    <d v="2025-05-20T00:00:00"/>
    <s v="May"/>
    <x v="4"/>
    <x v="10"/>
    <n v="2100"/>
  </r>
  <r>
    <d v="2025-05-26T00:00:00"/>
    <s v="May"/>
    <x v="5"/>
    <x v="5"/>
    <n v="2600"/>
  </r>
  <r>
    <d v="2025-06-05T00:00:00"/>
    <s v="June"/>
    <x v="1"/>
    <x v="1"/>
    <n v="12000"/>
  </r>
  <r>
    <d v="2025-06-09T00:00:00"/>
    <s v="June"/>
    <x v="2"/>
    <x v="2"/>
    <n v="5200"/>
  </r>
  <r>
    <d v="2025-06-13T00:00:00"/>
    <s v="June"/>
    <x v="3"/>
    <x v="9"/>
    <n v="3300"/>
  </r>
  <r>
    <d v="2025-06-18T00:00:00"/>
    <s v="June"/>
    <x v="4"/>
    <x v="11"/>
    <n v="2800"/>
  </r>
  <r>
    <d v="2025-06-25T00:00:00"/>
    <s v="June"/>
    <x v="5"/>
    <x v="5"/>
    <n v="2700"/>
  </r>
  <r>
    <d v="2025-07-05T00:00:00"/>
    <s v="July"/>
    <x v="1"/>
    <x v="1"/>
    <n v="12000"/>
  </r>
  <r>
    <d v="2025-07-08T00:00:00"/>
    <s v="July"/>
    <x v="2"/>
    <x v="2"/>
    <n v="4100"/>
  </r>
  <r>
    <d v="2025-07-12T00:00:00"/>
    <s v="July"/>
    <x v="3"/>
    <x v="7"/>
    <n v="2600"/>
  </r>
  <r>
    <d v="2025-07-19T00:00:00"/>
    <s v="July"/>
    <x v="4"/>
    <x v="4"/>
    <n v="1800"/>
  </r>
  <r>
    <d v="2025-07-26T00:00:00"/>
    <s v="July"/>
    <x v="5"/>
    <x v="5"/>
    <n v="2400"/>
  </r>
  <r>
    <d v="2025-08-05T00:00:00"/>
    <s v="August"/>
    <x v="1"/>
    <x v="1"/>
    <n v="12000"/>
  </r>
  <r>
    <d v="2025-08-09T00:00:00"/>
    <s v="August"/>
    <x v="2"/>
    <x v="2"/>
    <n v="4700"/>
  </r>
  <r>
    <d v="2025-08-14T00:00:00"/>
    <s v="August"/>
    <x v="3"/>
    <x v="9"/>
    <n v="3100"/>
  </r>
  <r>
    <d v="2025-08-20T00:00:00"/>
    <s v="August"/>
    <x v="4"/>
    <x v="10"/>
    <n v="2200"/>
  </r>
  <r>
    <d v="2025-08-26T00:00:00"/>
    <s v="August"/>
    <x v="5"/>
    <x v="5"/>
    <n v="2500"/>
  </r>
  <r>
    <d v="2025-09-05T00:00:00"/>
    <s v="September"/>
    <x v="1"/>
    <x v="1"/>
    <n v="12000"/>
  </r>
  <r>
    <d v="2025-09-08T00:00:00"/>
    <s v="September"/>
    <x v="2"/>
    <x v="2"/>
    <n v="4300"/>
  </r>
  <r>
    <d v="2025-09-13T00:00:00"/>
    <s v="September"/>
    <x v="3"/>
    <x v="7"/>
    <n v="2700"/>
  </r>
  <r>
    <d v="2025-09-18T00:00:00"/>
    <s v="September"/>
    <x v="4"/>
    <x v="8"/>
    <n v="2000"/>
  </r>
  <r>
    <d v="2025-09-25T00:00:00"/>
    <s v="September"/>
    <x v="5"/>
    <x v="5"/>
    <n v="2400"/>
  </r>
  <r>
    <d v="2025-10-05T00:00:00"/>
    <s v="October"/>
    <x v="1"/>
    <x v="1"/>
    <n v="12000"/>
  </r>
  <r>
    <d v="2025-10-09T00:00:00"/>
    <s v="October"/>
    <x v="2"/>
    <x v="2"/>
    <n v="5000"/>
  </r>
  <r>
    <d v="2025-10-14T00:00:00"/>
    <s v="October"/>
    <x v="3"/>
    <x v="9"/>
    <n v="3200"/>
  </r>
  <r>
    <d v="2025-10-20T00:00:00"/>
    <s v="October"/>
    <x v="4"/>
    <x v="12"/>
    <n v="3500"/>
  </r>
  <r>
    <d v="2025-10-26T00:00:00"/>
    <s v="October"/>
    <x v="5"/>
    <x v="5"/>
    <n v="2800"/>
  </r>
  <r>
    <d v="2025-11-05T00:00:00"/>
    <s v="November"/>
    <x v="1"/>
    <x v="1"/>
    <n v="12000"/>
  </r>
  <r>
    <d v="2025-11-08T00:00:00"/>
    <s v="November"/>
    <x v="2"/>
    <x v="2"/>
    <n v="4600"/>
  </r>
  <r>
    <d v="2025-11-13T00:00:00"/>
    <s v="November"/>
    <x v="3"/>
    <x v="9"/>
    <n v="3000"/>
  </r>
  <r>
    <d v="2025-11-19T00:00:00"/>
    <s v="November"/>
    <x v="4"/>
    <x v="4"/>
    <n v="2100"/>
  </r>
  <r>
    <d v="2025-11-25T00:00:00"/>
    <s v="November"/>
    <x v="5"/>
    <x v="5"/>
    <n v="2600"/>
  </r>
  <r>
    <d v="2025-12-05T00:00:00"/>
    <s v="December"/>
    <x v="1"/>
    <x v="1"/>
    <n v="12000"/>
  </r>
  <r>
    <d v="2025-12-09T00:00:00"/>
    <s v="December"/>
    <x v="2"/>
    <x v="2"/>
    <n v="5400"/>
  </r>
  <r>
    <d v="2025-12-14T00:00:00"/>
    <s v="December"/>
    <x v="3"/>
    <x v="13"/>
    <n v="3600"/>
  </r>
  <r>
    <d v="2025-12-20T00:00:00"/>
    <s v="December"/>
    <x v="4"/>
    <x v="14"/>
    <n v="4000"/>
  </r>
  <r>
    <d v="2025-12-26T00:00:00"/>
    <s v="December"/>
    <x v="5"/>
    <x v="5"/>
    <n v="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5">
  <location ref="H3:I10" firstHeaderRow="1" firstDataRow="1" firstDataCol="1"/>
  <pivotFields count="5">
    <pivotField showAll="0"/>
    <pivotField showAll="0"/>
    <pivotField axis="axisRow" showAll="0">
      <items count="7">
        <item x="0"/>
        <item x="4"/>
        <item x="2"/>
        <item x="1"/>
        <item x="3"/>
        <item x="5"/>
        <item t="default"/>
      </items>
    </pivotField>
    <pivotField dataField="1" showAll="0">
      <items count="16">
        <item x="7"/>
        <item x="3"/>
        <item x="0"/>
        <item x="5"/>
        <item x="12"/>
        <item x="9"/>
        <item x="2"/>
        <item x="1"/>
        <item x="4"/>
        <item x="8"/>
        <item x="10"/>
        <item x="13"/>
        <item x="11"/>
        <item x="6"/>
        <item x="14"/>
        <item t="default"/>
      </items>
    </pivotField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iscription" fld="3" subtotal="count" baseField="0" baseItem="0"/>
  </dataFields>
  <chartFormats count="1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D3:E10" firstHeaderRow="1" firstDataRow="1" firstDataCol="1"/>
  <pivotFields count="5">
    <pivotField showAll="0"/>
    <pivotField showAll="0"/>
    <pivotField axis="axisRow" showAll="0">
      <items count="7">
        <item x="0"/>
        <item x="4"/>
        <item x="2"/>
        <item x="1"/>
        <item x="3"/>
        <item x="5"/>
        <item t="default"/>
      </items>
    </pivotField>
    <pivotField dataField="1" showAll="0">
      <items count="16">
        <item x="7"/>
        <item x="3"/>
        <item x="0"/>
        <item x="5"/>
        <item x="12"/>
        <item x="9"/>
        <item x="2"/>
        <item x="1"/>
        <item x="4"/>
        <item x="8"/>
        <item x="10"/>
        <item x="13"/>
        <item x="11"/>
        <item x="6"/>
        <item x="14"/>
        <item t="default"/>
      </items>
    </pivotField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iscription" fld="3" subtotal="count" baseField="0" baseItem="0"/>
  </dataFields>
  <chartFormats count="9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3:B10" firstHeaderRow="1" firstDataRow="1" firstDataCol="1"/>
  <pivotFields count="5">
    <pivotField showAll="0"/>
    <pivotField showAll="0"/>
    <pivotField axis="axisRow" showAll="0">
      <items count="7">
        <item x="0"/>
        <item x="4"/>
        <item x="2"/>
        <item x="1"/>
        <item x="3"/>
        <item x="5"/>
        <item t="default"/>
      </items>
    </pivotField>
    <pivotField dataField="1" showAll="0">
      <items count="16">
        <item x="7"/>
        <item x="3"/>
        <item x="0"/>
        <item x="5"/>
        <item x="12"/>
        <item x="9"/>
        <item x="2"/>
        <item x="1"/>
        <item x="4"/>
        <item x="8"/>
        <item x="10"/>
        <item x="13"/>
        <item x="11"/>
        <item x="6"/>
        <item x="14"/>
        <item t="default"/>
      </items>
    </pivotField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iscription" fld="3" subtotal="count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B25:C32" firstHeaderRow="1" firstDataRow="1" firstDataCol="1"/>
  <pivotFields count="5">
    <pivotField showAll="0"/>
    <pivotField showAll="0"/>
    <pivotField axis="axisRow" showAll="0">
      <items count="7">
        <item x="0"/>
        <item x="4"/>
        <item x="2"/>
        <item x="1"/>
        <item x="3"/>
        <item x="5"/>
        <item t="default"/>
      </items>
    </pivotField>
    <pivotField dataField="1" showAll="0">
      <items count="16">
        <item x="7"/>
        <item x="3"/>
        <item x="0"/>
        <item x="5"/>
        <item x="12"/>
        <item x="9"/>
        <item x="2"/>
        <item x="1"/>
        <item x="4"/>
        <item x="8"/>
        <item x="10"/>
        <item x="13"/>
        <item x="11"/>
        <item x="6"/>
        <item x="14"/>
        <item t="default"/>
      </items>
    </pivotField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iscription" fld="3" subtotal="count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G25:H32" firstHeaderRow="1" firstDataRow="1" firstDataCol="1"/>
  <pivotFields count="5">
    <pivotField showAll="0"/>
    <pivotField showAll="0"/>
    <pivotField axis="axisRow" showAll="0">
      <items count="7">
        <item x="0"/>
        <item x="4"/>
        <item x="2"/>
        <item x="1"/>
        <item x="3"/>
        <item x="5"/>
        <item t="default"/>
      </items>
    </pivotField>
    <pivotField dataField="1" showAll="0">
      <items count="16">
        <item x="7"/>
        <item x="3"/>
        <item x="0"/>
        <item x="5"/>
        <item x="12"/>
        <item x="9"/>
        <item x="2"/>
        <item x="1"/>
        <item x="4"/>
        <item x="8"/>
        <item x="10"/>
        <item x="13"/>
        <item x="11"/>
        <item x="6"/>
        <item x="14"/>
        <item t="default"/>
      </items>
    </pivotField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iscription" fld="3" subtotal="count" baseField="0" baseItem="0"/>
  </dataFields>
  <chartFormats count="9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5">
  <location ref="J25:K32" firstHeaderRow="1" firstDataRow="1" firstDataCol="1"/>
  <pivotFields count="5">
    <pivotField showAll="0"/>
    <pivotField showAll="0"/>
    <pivotField axis="axisRow" showAll="0">
      <items count="7">
        <item x="0"/>
        <item x="4"/>
        <item x="2"/>
        <item x="1"/>
        <item x="3"/>
        <item x="5"/>
        <item t="default"/>
      </items>
    </pivotField>
    <pivotField dataField="1" showAll="0">
      <items count="16">
        <item x="7"/>
        <item x="3"/>
        <item x="0"/>
        <item x="5"/>
        <item x="12"/>
        <item x="9"/>
        <item x="2"/>
        <item x="1"/>
        <item x="4"/>
        <item x="8"/>
        <item x="10"/>
        <item x="13"/>
        <item x="11"/>
        <item x="6"/>
        <item x="14"/>
        <item t="default"/>
      </items>
    </pivotField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iscription" fld="3" subtotal="count" baseField="0" baseItem="0"/>
  </dataFields>
  <chartFormats count="1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2:E62" totalsRowShown="0">
  <autoFilter ref="A2:E62"/>
  <tableColumns count="5">
    <tableColumn id="1" name="Column1" dataDxfId="0"/>
    <tableColumn id="2" name="Column2"/>
    <tableColumn id="3" name="Column3"/>
    <tableColumn id="4" name="Column4"/>
    <tableColumn id="5" name="Column5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0"/>
  <sheetViews>
    <sheetView workbookViewId="0">
      <selection activeCell="A2" sqref="A2:J23"/>
    </sheetView>
  </sheetViews>
  <sheetFormatPr defaultRowHeight="14.25"/>
  <cols>
    <col min="1" max="1" width="13.125" customWidth="1"/>
    <col min="2" max="2" width="18.875" bestFit="1" customWidth="1"/>
    <col min="4" max="4" width="13.125" customWidth="1"/>
    <col min="5" max="5" width="18.875" customWidth="1"/>
    <col min="8" max="8" width="13.125" customWidth="1"/>
    <col min="9" max="9" width="18.875" customWidth="1"/>
  </cols>
  <sheetData>
    <row r="3" spans="1:9">
      <c r="A3" s="8" t="s">
        <v>47</v>
      </c>
      <c r="B3" t="s">
        <v>49</v>
      </c>
      <c r="D3" s="8" t="s">
        <v>47</v>
      </c>
      <c r="E3" t="s">
        <v>49</v>
      </c>
      <c r="H3" s="8" t="s">
        <v>47</v>
      </c>
      <c r="I3" t="s">
        <v>49</v>
      </c>
    </row>
    <row r="4" spans="1:9">
      <c r="A4" s="9" t="s">
        <v>7</v>
      </c>
      <c r="B4" s="10">
        <v>1</v>
      </c>
      <c r="D4" s="9" t="s">
        <v>7</v>
      </c>
      <c r="E4" s="10">
        <v>1</v>
      </c>
      <c r="H4" s="9" t="s">
        <v>7</v>
      </c>
      <c r="I4" s="10">
        <v>1</v>
      </c>
    </row>
    <row r="5" spans="1:9">
      <c r="A5" s="9" t="s">
        <v>18</v>
      </c>
      <c r="B5" s="10">
        <v>12</v>
      </c>
      <c r="D5" s="9" t="s">
        <v>18</v>
      </c>
      <c r="E5" s="10">
        <v>12</v>
      </c>
      <c r="H5" s="9" t="s">
        <v>18</v>
      </c>
      <c r="I5" s="10">
        <v>12</v>
      </c>
    </row>
    <row r="6" spans="1:9">
      <c r="A6" s="9" t="s">
        <v>13</v>
      </c>
      <c r="B6" s="10">
        <v>12</v>
      </c>
      <c r="D6" s="9" t="s">
        <v>13</v>
      </c>
      <c r="E6" s="10">
        <v>12</v>
      </c>
      <c r="H6" s="9" t="s">
        <v>13</v>
      </c>
      <c r="I6" s="10">
        <v>12</v>
      </c>
    </row>
    <row r="7" spans="1:9">
      <c r="A7" s="9" t="s">
        <v>11</v>
      </c>
      <c r="B7" s="10">
        <v>12</v>
      </c>
      <c r="D7" s="9" t="s">
        <v>11</v>
      </c>
      <c r="E7" s="10">
        <v>12</v>
      </c>
      <c r="H7" s="9" t="s">
        <v>11</v>
      </c>
      <c r="I7" s="10">
        <v>12</v>
      </c>
    </row>
    <row r="8" spans="1:9">
      <c r="A8" s="9" t="s">
        <v>15</v>
      </c>
      <c r="B8" s="10">
        <v>12</v>
      </c>
      <c r="D8" s="9" t="s">
        <v>15</v>
      </c>
      <c r="E8" s="10">
        <v>12</v>
      </c>
      <c r="H8" s="9" t="s">
        <v>15</v>
      </c>
      <c r="I8" s="10">
        <v>12</v>
      </c>
    </row>
    <row r="9" spans="1:9">
      <c r="A9" s="9" t="s">
        <v>20</v>
      </c>
      <c r="B9" s="10">
        <v>12</v>
      </c>
      <c r="D9" s="9" t="s">
        <v>20</v>
      </c>
      <c r="E9" s="10">
        <v>12</v>
      </c>
      <c r="H9" s="9" t="s">
        <v>20</v>
      </c>
      <c r="I9" s="10">
        <v>12</v>
      </c>
    </row>
    <row r="10" spans="1:9">
      <c r="A10" s="9" t="s">
        <v>48</v>
      </c>
      <c r="B10" s="10">
        <v>61</v>
      </c>
      <c r="D10" s="9" t="s">
        <v>48</v>
      </c>
      <c r="E10" s="10">
        <v>61</v>
      </c>
      <c r="H10" s="9" t="s">
        <v>48</v>
      </c>
      <c r="I10" s="10">
        <v>61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workbookViewId="0">
      <selection activeCell="H19" sqref="H19"/>
    </sheetView>
  </sheetViews>
  <sheetFormatPr defaultRowHeight="14.25"/>
  <cols>
    <col min="1" max="1" width="10.375" bestFit="1" customWidth="1"/>
    <col min="2" max="2" width="10.125" customWidth="1"/>
    <col min="3" max="3" width="13.5" customWidth="1"/>
    <col min="4" max="4" width="17.625" customWidth="1"/>
    <col min="5" max="5" width="16.75" customWidth="1"/>
    <col min="8" max="8" width="32.375" customWidth="1"/>
  </cols>
  <sheetData>
    <row r="1" spans="1:8" ht="1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spans="1:8">
      <c r="A2" s="4" t="s">
        <v>5</v>
      </c>
      <c r="B2" t="s">
        <v>6</v>
      </c>
      <c r="C2" t="s">
        <v>7</v>
      </c>
      <c r="D2" t="s">
        <v>8</v>
      </c>
      <c r="E2" t="s">
        <v>9</v>
      </c>
    </row>
    <row r="3" spans="1:8">
      <c r="A3" s="4">
        <v>45662</v>
      </c>
      <c r="B3" t="s">
        <v>10</v>
      </c>
      <c r="C3" t="s">
        <v>11</v>
      </c>
      <c r="D3" t="s">
        <v>12</v>
      </c>
      <c r="E3">
        <v>12000</v>
      </c>
    </row>
    <row r="4" spans="1:8">
      <c r="A4" s="4">
        <v>45665</v>
      </c>
      <c r="B4" t="s">
        <v>10</v>
      </c>
      <c r="C4" t="s">
        <v>13</v>
      </c>
      <c r="D4" t="s">
        <v>14</v>
      </c>
      <c r="E4">
        <v>4200</v>
      </c>
    </row>
    <row r="5" spans="1:8" ht="15">
      <c r="A5" s="4">
        <v>45669</v>
      </c>
      <c r="B5" t="s">
        <v>10</v>
      </c>
      <c r="C5" t="s">
        <v>15</v>
      </c>
      <c r="D5" t="s">
        <v>16</v>
      </c>
      <c r="E5">
        <v>2800</v>
      </c>
      <c r="H5" s="5" t="s">
        <v>17</v>
      </c>
    </row>
    <row r="6" spans="1:8">
      <c r="A6" s="4">
        <v>45675</v>
      </c>
      <c r="B6" t="s">
        <v>10</v>
      </c>
      <c r="C6" t="s">
        <v>18</v>
      </c>
      <c r="D6" t="s">
        <v>19</v>
      </c>
      <c r="E6">
        <v>2300</v>
      </c>
      <c r="H6" s="6">
        <f>SUM(E3:E62)</f>
        <v>295000</v>
      </c>
    </row>
    <row r="7" spans="1:8">
      <c r="A7" s="4">
        <v>45682</v>
      </c>
      <c r="B7" t="s">
        <v>10</v>
      </c>
      <c r="C7" t="s">
        <v>20</v>
      </c>
      <c r="D7" t="s">
        <v>21</v>
      </c>
      <c r="E7">
        <v>2600</v>
      </c>
    </row>
    <row r="8" spans="1:8">
      <c r="A8" s="4">
        <v>45693</v>
      </c>
      <c r="B8" t="s">
        <v>22</v>
      </c>
      <c r="C8" t="s">
        <v>11</v>
      </c>
      <c r="D8" t="s">
        <v>12</v>
      </c>
      <c r="E8">
        <v>12000</v>
      </c>
    </row>
    <row r="9" spans="1:8">
      <c r="A9" s="4">
        <v>45697</v>
      </c>
      <c r="B9" t="s">
        <v>22</v>
      </c>
      <c r="C9" t="s">
        <v>13</v>
      </c>
      <c r="D9" t="s">
        <v>14</v>
      </c>
      <c r="E9">
        <v>5100</v>
      </c>
    </row>
    <row r="10" spans="1:8" ht="15">
      <c r="A10" s="4">
        <v>45700</v>
      </c>
      <c r="B10" t="s">
        <v>22</v>
      </c>
      <c r="C10" t="s">
        <v>15</v>
      </c>
      <c r="D10" t="s">
        <v>16</v>
      </c>
      <c r="E10">
        <v>3200</v>
      </c>
      <c r="H10" s="2" t="s">
        <v>23</v>
      </c>
    </row>
    <row r="11" spans="1:8">
      <c r="A11" s="4">
        <v>45706</v>
      </c>
      <c r="B11" t="s">
        <v>22</v>
      </c>
      <c r="C11" t="s">
        <v>18</v>
      </c>
      <c r="D11" t="s">
        <v>19</v>
      </c>
      <c r="E11">
        <v>1900</v>
      </c>
      <c r="H11" s="6">
        <f>SUMIF(C:C,"food",E:E)</f>
        <v>55800</v>
      </c>
    </row>
    <row r="12" spans="1:8">
      <c r="A12" s="4">
        <v>45712</v>
      </c>
      <c r="B12" t="s">
        <v>22</v>
      </c>
      <c r="C12" t="s">
        <v>20</v>
      </c>
      <c r="D12" t="s">
        <v>24</v>
      </c>
      <c r="E12">
        <v>2400</v>
      </c>
    </row>
    <row r="13" spans="1:8">
      <c r="A13" s="4">
        <v>45721</v>
      </c>
      <c r="B13" t="s">
        <v>25</v>
      </c>
      <c r="C13" t="s">
        <v>11</v>
      </c>
      <c r="D13" t="s">
        <v>12</v>
      </c>
      <c r="E13">
        <v>12000</v>
      </c>
    </row>
    <row r="14" spans="1:8" ht="15">
      <c r="A14" s="4">
        <v>45724</v>
      </c>
      <c r="B14" t="s">
        <v>25</v>
      </c>
      <c r="C14" t="s">
        <v>13</v>
      </c>
      <c r="D14" t="s">
        <v>14</v>
      </c>
      <c r="E14">
        <v>3900</v>
      </c>
      <c r="H14" s="2" t="s">
        <v>26</v>
      </c>
    </row>
    <row r="15" spans="1:8">
      <c r="A15" s="4">
        <v>45730</v>
      </c>
      <c r="B15" t="s">
        <v>25</v>
      </c>
      <c r="C15" t="s">
        <v>15</v>
      </c>
      <c r="D15" t="s">
        <v>27</v>
      </c>
      <c r="E15">
        <v>2600</v>
      </c>
      <c r="H15" s="6">
        <f>AVERAGE(E3:E62)</f>
        <v>4916.666666666667</v>
      </c>
    </row>
    <row r="16" spans="1:8">
      <c r="A16" s="4">
        <v>45736</v>
      </c>
      <c r="B16" t="s">
        <v>25</v>
      </c>
      <c r="C16" t="s">
        <v>18</v>
      </c>
      <c r="D16" t="s">
        <v>28</v>
      </c>
      <c r="E16">
        <v>1500</v>
      </c>
    </row>
    <row r="17" spans="1:8">
      <c r="A17" s="4">
        <v>45742</v>
      </c>
      <c r="B17" t="s">
        <v>25</v>
      </c>
      <c r="C17" t="s">
        <v>20</v>
      </c>
      <c r="D17" t="s">
        <v>21</v>
      </c>
      <c r="E17">
        <v>2300</v>
      </c>
    </row>
    <row r="18" spans="1:8">
      <c r="A18" s="4">
        <v>45752</v>
      </c>
      <c r="B18" t="s">
        <v>29</v>
      </c>
      <c r="C18" t="s">
        <v>11</v>
      </c>
      <c r="D18" t="s">
        <v>12</v>
      </c>
      <c r="E18">
        <v>12000</v>
      </c>
      <c r="H18" s="7" t="s">
        <v>30</v>
      </c>
    </row>
    <row r="19" spans="1:8">
      <c r="A19" s="4">
        <v>45756</v>
      </c>
      <c r="B19" t="s">
        <v>29</v>
      </c>
      <c r="C19" t="s">
        <v>13</v>
      </c>
      <c r="D19" t="s">
        <v>14</v>
      </c>
      <c r="E19">
        <v>4500</v>
      </c>
      <c r="H19" s="6">
        <f>SUMIF(B:B,"January",E:E)</f>
        <v>23900</v>
      </c>
    </row>
    <row r="20" spans="1:8">
      <c r="A20" s="4">
        <v>45760</v>
      </c>
      <c r="B20" t="s">
        <v>29</v>
      </c>
      <c r="C20" t="s">
        <v>15</v>
      </c>
      <c r="D20" t="s">
        <v>31</v>
      </c>
      <c r="E20">
        <v>3000</v>
      </c>
    </row>
    <row r="21" spans="1:8">
      <c r="A21" s="4">
        <v>45766</v>
      </c>
      <c r="B21" t="s">
        <v>29</v>
      </c>
      <c r="C21" t="s">
        <v>18</v>
      </c>
      <c r="D21" t="s">
        <v>19</v>
      </c>
      <c r="E21">
        <v>2200</v>
      </c>
    </row>
    <row r="22" spans="1:8">
      <c r="A22" s="4">
        <v>45772</v>
      </c>
      <c r="B22" t="s">
        <v>29</v>
      </c>
      <c r="C22" t="s">
        <v>20</v>
      </c>
      <c r="D22" t="s">
        <v>21</v>
      </c>
      <c r="E22">
        <v>2500</v>
      </c>
      <c r="H22" s="7" t="s">
        <v>32</v>
      </c>
    </row>
    <row r="23" spans="1:8">
      <c r="A23" s="4">
        <v>45782</v>
      </c>
      <c r="B23" t="s">
        <v>33</v>
      </c>
      <c r="C23" t="s">
        <v>11</v>
      </c>
      <c r="D23" t="s">
        <v>12</v>
      </c>
      <c r="E23">
        <v>12000</v>
      </c>
      <c r="H23" s="6">
        <f>SUMIFS(E:E,B:B,"January",C:C,"Food")</f>
        <v>4200</v>
      </c>
    </row>
    <row r="24" spans="1:8">
      <c r="A24" s="4">
        <v>45785</v>
      </c>
      <c r="B24" t="s">
        <v>33</v>
      </c>
      <c r="C24" t="s">
        <v>13</v>
      </c>
      <c r="D24" t="s">
        <v>14</v>
      </c>
      <c r="E24">
        <v>4800</v>
      </c>
    </row>
    <row r="25" spans="1:8">
      <c r="A25" s="4">
        <v>45791</v>
      </c>
      <c r="B25" t="s">
        <v>33</v>
      </c>
      <c r="C25" t="s">
        <v>15</v>
      </c>
      <c r="D25" t="s">
        <v>31</v>
      </c>
      <c r="E25">
        <v>2900</v>
      </c>
    </row>
    <row r="26" spans="1:8">
      <c r="A26" s="4">
        <v>45797</v>
      </c>
      <c r="B26" t="s">
        <v>33</v>
      </c>
      <c r="C26" t="s">
        <v>18</v>
      </c>
      <c r="D26" t="s">
        <v>34</v>
      </c>
      <c r="E26">
        <v>2100</v>
      </c>
    </row>
    <row r="27" spans="1:8">
      <c r="A27" s="4">
        <v>45803</v>
      </c>
      <c r="B27" t="s">
        <v>33</v>
      </c>
      <c r="C27" t="s">
        <v>20</v>
      </c>
      <c r="D27" t="s">
        <v>21</v>
      </c>
      <c r="E27">
        <v>2600</v>
      </c>
    </row>
    <row r="28" spans="1:8">
      <c r="A28" s="4">
        <v>45813</v>
      </c>
      <c r="B28" t="s">
        <v>35</v>
      </c>
      <c r="C28" t="s">
        <v>11</v>
      </c>
      <c r="D28" t="s">
        <v>12</v>
      </c>
      <c r="E28">
        <v>12000</v>
      </c>
      <c r="H28" s="7" t="s">
        <v>36</v>
      </c>
    </row>
    <row r="29" spans="1:8">
      <c r="A29" s="4">
        <v>45817</v>
      </c>
      <c r="B29" t="s">
        <v>35</v>
      </c>
      <c r="C29" t="s">
        <v>13</v>
      </c>
      <c r="D29" t="s">
        <v>14</v>
      </c>
      <c r="E29">
        <v>5200</v>
      </c>
      <c r="H29" s="6">
        <f>AVERAGEIF(B:B,"January",E:E)</f>
        <v>4780</v>
      </c>
    </row>
    <row r="30" spans="1:8">
      <c r="A30" s="4">
        <v>45821</v>
      </c>
      <c r="B30" t="s">
        <v>35</v>
      </c>
      <c r="C30" t="s">
        <v>15</v>
      </c>
      <c r="D30" t="s">
        <v>31</v>
      </c>
      <c r="E30">
        <v>3300</v>
      </c>
    </row>
    <row r="31" spans="1:8">
      <c r="A31" s="4">
        <v>45826</v>
      </c>
      <c r="B31" t="s">
        <v>35</v>
      </c>
      <c r="C31" t="s">
        <v>18</v>
      </c>
      <c r="D31" t="s">
        <v>37</v>
      </c>
      <c r="E31">
        <v>2800</v>
      </c>
    </row>
    <row r="32" spans="1:8">
      <c r="A32" s="4">
        <v>45833</v>
      </c>
      <c r="B32" t="s">
        <v>35</v>
      </c>
      <c r="C32" t="s">
        <v>20</v>
      </c>
      <c r="D32" t="s">
        <v>21</v>
      </c>
      <c r="E32">
        <v>2700</v>
      </c>
    </row>
    <row r="33" spans="1:5">
      <c r="A33" s="4">
        <v>45843</v>
      </c>
      <c r="B33" t="s">
        <v>38</v>
      </c>
      <c r="C33" t="s">
        <v>11</v>
      </c>
      <c r="D33" t="s">
        <v>12</v>
      </c>
      <c r="E33">
        <v>12000</v>
      </c>
    </row>
    <row r="34" spans="1:5">
      <c r="A34" s="4">
        <v>45846</v>
      </c>
      <c r="B34" t="s">
        <v>38</v>
      </c>
      <c r="C34" t="s">
        <v>13</v>
      </c>
      <c r="D34" t="s">
        <v>14</v>
      </c>
      <c r="E34">
        <v>4100</v>
      </c>
    </row>
    <row r="35" spans="1:5">
      <c r="A35" s="4">
        <v>45850</v>
      </c>
      <c r="B35" t="s">
        <v>38</v>
      </c>
      <c r="C35" t="s">
        <v>15</v>
      </c>
      <c r="D35" t="s">
        <v>27</v>
      </c>
      <c r="E35">
        <v>2600</v>
      </c>
    </row>
    <row r="36" spans="1:5">
      <c r="A36" s="4">
        <v>45857</v>
      </c>
      <c r="B36" t="s">
        <v>38</v>
      </c>
      <c r="C36" t="s">
        <v>18</v>
      </c>
      <c r="D36" t="s">
        <v>19</v>
      </c>
      <c r="E36">
        <v>1800</v>
      </c>
    </row>
    <row r="37" spans="1:5">
      <c r="A37" s="4">
        <v>45864</v>
      </c>
      <c r="B37" t="s">
        <v>38</v>
      </c>
      <c r="C37" t="s">
        <v>20</v>
      </c>
      <c r="D37" t="s">
        <v>21</v>
      </c>
      <c r="E37">
        <v>2400</v>
      </c>
    </row>
    <row r="38" spans="1:5">
      <c r="A38" s="4">
        <v>45874</v>
      </c>
      <c r="B38" t="s">
        <v>39</v>
      </c>
      <c r="C38" t="s">
        <v>11</v>
      </c>
      <c r="D38" t="s">
        <v>12</v>
      </c>
      <c r="E38">
        <v>12000</v>
      </c>
    </row>
    <row r="39" spans="1:5">
      <c r="A39" s="4">
        <v>45878</v>
      </c>
      <c r="B39" t="s">
        <v>39</v>
      </c>
      <c r="C39" t="s">
        <v>13</v>
      </c>
      <c r="D39" t="s">
        <v>14</v>
      </c>
      <c r="E39">
        <v>4700</v>
      </c>
    </row>
    <row r="40" spans="1:5">
      <c r="A40" s="4">
        <v>45883</v>
      </c>
      <c r="B40" t="s">
        <v>39</v>
      </c>
      <c r="C40" t="s">
        <v>15</v>
      </c>
      <c r="D40" t="s">
        <v>31</v>
      </c>
      <c r="E40">
        <v>3100</v>
      </c>
    </row>
    <row r="41" spans="1:5">
      <c r="A41" s="4">
        <v>45889</v>
      </c>
      <c r="B41" t="s">
        <v>39</v>
      </c>
      <c r="C41" t="s">
        <v>18</v>
      </c>
      <c r="D41" t="s">
        <v>34</v>
      </c>
      <c r="E41">
        <v>2200</v>
      </c>
    </row>
    <row r="42" spans="1:5">
      <c r="A42" s="4">
        <v>45895</v>
      </c>
      <c r="B42" t="s">
        <v>39</v>
      </c>
      <c r="C42" t="s">
        <v>20</v>
      </c>
      <c r="D42" t="s">
        <v>21</v>
      </c>
      <c r="E42">
        <v>2500</v>
      </c>
    </row>
    <row r="43" spans="1:5">
      <c r="A43" s="4">
        <v>45905</v>
      </c>
      <c r="B43" t="s">
        <v>40</v>
      </c>
      <c r="C43" t="s">
        <v>11</v>
      </c>
      <c r="D43" t="s">
        <v>12</v>
      </c>
      <c r="E43">
        <v>12000</v>
      </c>
    </row>
    <row r="44" spans="1:5">
      <c r="A44" s="4">
        <v>45908</v>
      </c>
      <c r="B44" t="s">
        <v>40</v>
      </c>
      <c r="C44" t="s">
        <v>13</v>
      </c>
      <c r="D44" t="s">
        <v>14</v>
      </c>
      <c r="E44">
        <v>4300</v>
      </c>
    </row>
    <row r="45" spans="1:5">
      <c r="A45" s="4">
        <v>45913</v>
      </c>
      <c r="B45" t="s">
        <v>40</v>
      </c>
      <c r="C45" t="s">
        <v>15</v>
      </c>
      <c r="D45" t="s">
        <v>27</v>
      </c>
      <c r="E45">
        <v>2700</v>
      </c>
    </row>
    <row r="46" spans="1:5">
      <c r="A46" s="4">
        <v>45918</v>
      </c>
      <c r="B46" t="s">
        <v>40</v>
      </c>
      <c r="C46" t="s">
        <v>18</v>
      </c>
      <c r="D46" t="s">
        <v>28</v>
      </c>
      <c r="E46">
        <v>2000</v>
      </c>
    </row>
    <row r="47" spans="1:5">
      <c r="A47" s="4">
        <v>45925</v>
      </c>
      <c r="B47" t="s">
        <v>40</v>
      </c>
      <c r="C47" t="s">
        <v>20</v>
      </c>
      <c r="D47" t="s">
        <v>21</v>
      </c>
      <c r="E47">
        <v>2400</v>
      </c>
    </row>
    <row r="48" spans="1:5">
      <c r="A48" s="4">
        <v>45935</v>
      </c>
      <c r="B48" t="s">
        <v>41</v>
      </c>
      <c r="C48" t="s">
        <v>11</v>
      </c>
      <c r="D48" t="s">
        <v>12</v>
      </c>
      <c r="E48">
        <v>12000</v>
      </c>
    </row>
    <row r="49" spans="1:5">
      <c r="A49" s="4">
        <v>45939</v>
      </c>
      <c r="B49" t="s">
        <v>41</v>
      </c>
      <c r="C49" t="s">
        <v>13</v>
      </c>
      <c r="D49" t="s">
        <v>14</v>
      </c>
      <c r="E49">
        <v>5000</v>
      </c>
    </row>
    <row r="50" spans="1:5">
      <c r="A50" s="4">
        <v>45944</v>
      </c>
      <c r="B50" t="s">
        <v>41</v>
      </c>
      <c r="C50" t="s">
        <v>15</v>
      </c>
      <c r="D50" t="s">
        <v>31</v>
      </c>
      <c r="E50">
        <v>3200</v>
      </c>
    </row>
    <row r="51" spans="1:5">
      <c r="A51" s="4">
        <v>45950</v>
      </c>
      <c r="B51" t="s">
        <v>41</v>
      </c>
      <c r="C51" t="s">
        <v>18</v>
      </c>
      <c r="D51" t="s">
        <v>42</v>
      </c>
      <c r="E51">
        <v>3500</v>
      </c>
    </row>
    <row r="52" spans="1:5">
      <c r="A52" s="4">
        <v>45956</v>
      </c>
      <c r="B52" t="s">
        <v>41</v>
      </c>
      <c r="C52" t="s">
        <v>20</v>
      </c>
      <c r="D52" t="s">
        <v>21</v>
      </c>
      <c r="E52">
        <v>2800</v>
      </c>
    </row>
    <row r="53" spans="1:5">
      <c r="A53" s="4">
        <v>45966</v>
      </c>
      <c r="B53" t="s">
        <v>43</v>
      </c>
      <c r="C53" t="s">
        <v>11</v>
      </c>
      <c r="D53" t="s">
        <v>12</v>
      </c>
      <c r="E53">
        <v>12000</v>
      </c>
    </row>
    <row r="54" spans="1:5">
      <c r="A54" s="4">
        <v>45969</v>
      </c>
      <c r="B54" t="s">
        <v>43</v>
      </c>
      <c r="C54" t="s">
        <v>13</v>
      </c>
      <c r="D54" t="s">
        <v>14</v>
      </c>
      <c r="E54">
        <v>4600</v>
      </c>
    </row>
    <row r="55" spans="1:5">
      <c r="A55" s="4">
        <v>45974</v>
      </c>
      <c r="B55" t="s">
        <v>43</v>
      </c>
      <c r="C55" t="s">
        <v>15</v>
      </c>
      <c r="D55" t="s">
        <v>31</v>
      </c>
      <c r="E55">
        <v>3000</v>
      </c>
    </row>
    <row r="56" spans="1:5">
      <c r="A56" s="4">
        <v>45980</v>
      </c>
      <c r="B56" t="s">
        <v>43</v>
      </c>
      <c r="C56" t="s">
        <v>18</v>
      </c>
      <c r="D56" t="s">
        <v>19</v>
      </c>
      <c r="E56">
        <v>2100</v>
      </c>
    </row>
    <row r="57" spans="1:5">
      <c r="A57" s="4">
        <v>45986</v>
      </c>
      <c r="B57" t="s">
        <v>43</v>
      </c>
      <c r="C57" t="s">
        <v>20</v>
      </c>
      <c r="D57" t="s">
        <v>21</v>
      </c>
      <c r="E57">
        <v>2600</v>
      </c>
    </row>
    <row r="58" spans="1:5">
      <c r="A58" s="4">
        <v>45996</v>
      </c>
      <c r="B58" t="s">
        <v>44</v>
      </c>
      <c r="C58" t="s">
        <v>11</v>
      </c>
      <c r="D58" t="s">
        <v>12</v>
      </c>
      <c r="E58">
        <v>12000</v>
      </c>
    </row>
    <row r="59" spans="1:5">
      <c r="A59" s="4">
        <v>46000</v>
      </c>
      <c r="B59" t="s">
        <v>44</v>
      </c>
      <c r="C59" t="s">
        <v>13</v>
      </c>
      <c r="D59" t="s">
        <v>14</v>
      </c>
      <c r="E59">
        <v>5400</v>
      </c>
    </row>
    <row r="60" spans="1:5">
      <c r="A60" s="4">
        <v>46005</v>
      </c>
      <c r="B60" t="s">
        <v>44</v>
      </c>
      <c r="C60" t="s">
        <v>15</v>
      </c>
      <c r="D60" t="s">
        <v>45</v>
      </c>
      <c r="E60">
        <v>3600</v>
      </c>
    </row>
    <row r="61" spans="1:5">
      <c r="A61" s="4">
        <v>46011</v>
      </c>
      <c r="B61" t="s">
        <v>44</v>
      </c>
      <c r="C61" t="s">
        <v>18</v>
      </c>
      <c r="D61" t="s">
        <v>46</v>
      </c>
      <c r="E61">
        <v>4000</v>
      </c>
    </row>
    <row r="62" spans="1:5">
      <c r="A62" s="4">
        <v>46017</v>
      </c>
      <c r="B62" t="s">
        <v>44</v>
      </c>
      <c r="C62" t="s">
        <v>20</v>
      </c>
      <c r="D62" t="s">
        <v>21</v>
      </c>
      <c r="E62">
        <v>3000</v>
      </c>
    </row>
    <row r="63" spans="1:5">
      <c r="A63" s="4"/>
    </row>
    <row r="64" spans="1:5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5:K32"/>
  <sheetViews>
    <sheetView tabSelected="1" workbookViewId="0">
      <selection activeCell="E44" sqref="E44"/>
    </sheetView>
  </sheetViews>
  <sheetFormatPr defaultRowHeight="14.25"/>
  <cols>
    <col min="2" max="2" width="13.125" customWidth="1"/>
    <col min="3" max="3" width="18.875" customWidth="1"/>
    <col min="7" max="7" width="13.125" customWidth="1"/>
    <col min="8" max="8" width="18.875" customWidth="1"/>
    <col min="9" max="10" width="13.125" customWidth="1"/>
    <col min="11" max="12" width="18.875" customWidth="1"/>
  </cols>
  <sheetData>
    <row r="25" spans="2:11">
      <c r="B25" s="8" t="s">
        <v>47</v>
      </c>
      <c r="C25" t="s">
        <v>49</v>
      </c>
      <c r="G25" s="8" t="s">
        <v>47</v>
      </c>
      <c r="H25" t="s">
        <v>49</v>
      </c>
      <c r="J25" s="8" t="s">
        <v>47</v>
      </c>
      <c r="K25" t="s">
        <v>49</v>
      </c>
    </row>
    <row r="26" spans="2:11">
      <c r="B26" s="9" t="s">
        <v>7</v>
      </c>
      <c r="C26" s="10">
        <v>1</v>
      </c>
      <c r="G26" s="9" t="s">
        <v>7</v>
      </c>
      <c r="H26" s="10">
        <v>1</v>
      </c>
      <c r="J26" s="9" t="s">
        <v>7</v>
      </c>
      <c r="K26" s="10">
        <v>1</v>
      </c>
    </row>
    <row r="27" spans="2:11">
      <c r="B27" s="9" t="s">
        <v>18</v>
      </c>
      <c r="C27" s="10">
        <v>12</v>
      </c>
      <c r="G27" s="9" t="s">
        <v>18</v>
      </c>
      <c r="H27" s="10">
        <v>12</v>
      </c>
      <c r="J27" s="9" t="s">
        <v>18</v>
      </c>
      <c r="K27" s="10">
        <v>12</v>
      </c>
    </row>
    <row r="28" spans="2:11">
      <c r="B28" s="9" t="s">
        <v>13</v>
      </c>
      <c r="C28" s="10">
        <v>12</v>
      </c>
      <c r="G28" s="9" t="s">
        <v>13</v>
      </c>
      <c r="H28" s="10">
        <v>12</v>
      </c>
      <c r="J28" s="9" t="s">
        <v>13</v>
      </c>
      <c r="K28" s="10">
        <v>12</v>
      </c>
    </row>
    <row r="29" spans="2:11">
      <c r="B29" s="9" t="s">
        <v>11</v>
      </c>
      <c r="C29" s="10">
        <v>12</v>
      </c>
      <c r="G29" s="9" t="s">
        <v>11</v>
      </c>
      <c r="H29" s="10">
        <v>12</v>
      </c>
      <c r="J29" s="9" t="s">
        <v>11</v>
      </c>
      <c r="K29" s="10">
        <v>12</v>
      </c>
    </row>
    <row r="30" spans="2:11">
      <c r="B30" s="9" t="s">
        <v>15</v>
      </c>
      <c r="C30" s="10">
        <v>12</v>
      </c>
      <c r="G30" s="9" t="s">
        <v>15</v>
      </c>
      <c r="H30" s="10">
        <v>12</v>
      </c>
      <c r="J30" s="9" t="s">
        <v>15</v>
      </c>
      <c r="K30" s="10">
        <v>12</v>
      </c>
    </row>
    <row r="31" spans="2:11">
      <c r="B31" s="9" t="s">
        <v>20</v>
      </c>
      <c r="C31" s="10">
        <v>12</v>
      </c>
      <c r="G31" s="9" t="s">
        <v>20</v>
      </c>
      <c r="H31" s="10">
        <v>12</v>
      </c>
      <c r="J31" s="9" t="s">
        <v>20</v>
      </c>
      <c r="K31" s="10">
        <v>12</v>
      </c>
    </row>
    <row r="32" spans="2:11">
      <c r="B32" s="9" t="s">
        <v>48</v>
      </c>
      <c r="C32" s="10">
        <v>61</v>
      </c>
      <c r="G32" s="9" t="s">
        <v>48</v>
      </c>
      <c r="H32" s="10">
        <v>61</v>
      </c>
      <c r="J32" s="9" t="s">
        <v>48</v>
      </c>
      <c r="K32" s="10">
        <v>61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 KOMARABATTINA</dc:creator>
  <cp:lastModifiedBy>admin</cp:lastModifiedBy>
  <dcterms:created xsi:type="dcterms:W3CDTF">2026-01-20T04:18:20Z</dcterms:created>
  <dcterms:modified xsi:type="dcterms:W3CDTF">2026-01-21T10:00:59Z</dcterms:modified>
</cp:coreProperties>
</file>